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ode basics\Excel\"/>
    </mc:Choice>
  </mc:AlternateContent>
  <xr:revisionPtr revIDLastSave="0" documentId="8_{9B39FF53-2FDC-42BE-90AC-6BF83F2B2D1B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Income &amp; Expen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" i="1" l="1"/>
  <c r="E24" i="1" s="1"/>
  <c r="D23" i="1"/>
  <c r="D24" i="1" s="1"/>
  <c r="C23" i="1"/>
  <c r="C24" i="1" s="1"/>
  <c r="B23" i="1"/>
  <c r="B24" i="1" s="1"/>
  <c r="H21" i="1"/>
  <c r="G21" i="1"/>
  <c r="F21" i="1"/>
  <c r="E21" i="1"/>
  <c r="D21" i="1"/>
  <c r="C21" i="1"/>
  <c r="B21" i="1"/>
  <c r="H20" i="1"/>
  <c r="H19" i="1"/>
  <c r="H18" i="1"/>
  <c r="H17" i="1"/>
  <c r="H16" i="1"/>
  <c r="H15" i="1"/>
  <c r="H14" i="1"/>
  <c r="H13" i="1"/>
  <c r="H12" i="1"/>
  <c r="H9" i="1"/>
  <c r="H23" i="1" s="1"/>
  <c r="G9" i="1"/>
  <c r="G23" i="1" s="1"/>
  <c r="G24" i="1" s="1"/>
  <c r="F9" i="1"/>
  <c r="F23" i="1" s="1"/>
  <c r="F24" i="1" s="1"/>
  <c r="E9" i="1"/>
  <c r="D9" i="1"/>
  <c r="C9" i="1"/>
  <c r="B9" i="1"/>
  <c r="H8" i="1"/>
  <c r="H7" i="1"/>
  <c r="H6" i="1"/>
</calcChain>
</file>

<file path=xl/sharedStrings.xml><?xml version="1.0" encoding="utf-8"?>
<sst xmlns="http://schemas.openxmlformats.org/spreadsheetml/2006/main" count="29" uniqueCount="29">
  <si>
    <t>💰  Personal Income &amp; Expense Tracker</t>
  </si>
  <si>
    <t>📌  Monthly Savings Target :  ₹ 60,000</t>
  </si>
  <si>
    <t>Category</t>
  </si>
  <si>
    <t>Jan</t>
  </si>
  <si>
    <t>Feb</t>
  </si>
  <si>
    <t>Mar</t>
  </si>
  <si>
    <t>Apr</t>
  </si>
  <si>
    <t>May</t>
  </si>
  <si>
    <t>Jun</t>
  </si>
  <si>
    <t>Year to Date</t>
  </si>
  <si>
    <t>INCOME</t>
  </si>
  <si>
    <t>💼  Job</t>
  </si>
  <si>
    <t>💻  Freelance</t>
  </si>
  <si>
    <t>🏠  Rental</t>
  </si>
  <si>
    <t>✅  Total Income</t>
  </si>
  <si>
    <t>EXPENSES</t>
  </si>
  <si>
    <t>🛒  Groceries</t>
  </si>
  <si>
    <t>👗  Clothing</t>
  </si>
  <si>
    <t>🍔  Junk Food</t>
  </si>
  <si>
    <t>⛽  Gas</t>
  </si>
  <si>
    <t>📶  Wi-Fi Bill</t>
  </si>
  <si>
    <t>🏍️  Petrol</t>
  </si>
  <si>
    <t>💧  Water Bill</t>
  </si>
  <si>
    <t>✂️  Haircut</t>
  </si>
  <si>
    <t>🏋️  Gym</t>
  </si>
  <si>
    <t>❌  Total Expenses</t>
  </si>
  <si>
    <t>💰  Net Savings</t>
  </si>
  <si>
    <t>🎯  vs Target (₹60K)</t>
  </si>
  <si>
    <t>Note: Apr–Jun entries pending · Blue = hardcoded inputs · Formulas auto-calculate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</si>
</sst>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₹#,##0"/>
    <numFmt numFmtId="165" formatCode="\₹#,##0;&quot;(₹&quot;#,##0\);\-"/>
  </numFmts>
  <fonts count="10" x14ac:knownFonts="1">
    <font>
      <sz val="11"/>
      <color theme="1"/>
      <name val="Calibri"/>
      <family val="2"/>
      <charset val="1"/>
    </font>
    <font>
      <b/>
      <sz val="18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i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1A5276"/>
      <name val="Calibri"/>
      <family val="2"/>
    </font>
    <font>
      <b/>
      <sz val="11"/>
      <color rgb="FF7B241C"/>
      <name val="Calibri"/>
      <family val="2"/>
    </font>
    <font>
      <b/>
      <i/>
      <sz val="10"/>
      <name val="Calibri"/>
      <family val="2"/>
    </font>
    <font>
      <i/>
      <sz val="9"/>
      <color rgb="FF7F8C8D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E94560"/>
        <bgColor rgb="FFE74C3C"/>
      </patternFill>
    </fill>
    <fill>
      <patternFill patternType="solid">
        <fgColor rgb="FF2C3E50"/>
        <bgColor rgb="FF1A5276"/>
      </patternFill>
    </fill>
    <fill>
      <patternFill patternType="solid">
        <fgColor rgb="FF27AE60"/>
        <bgColor rgb="FF1E8449"/>
      </patternFill>
    </fill>
    <fill>
      <patternFill patternType="solid">
        <fgColor rgb="FFE8F4F8"/>
        <bgColor rgb="FFFDFEFE"/>
      </patternFill>
    </fill>
    <fill>
      <patternFill patternType="solid">
        <fgColor rgb="FFFFFFFF"/>
        <bgColor rgb="FFFDFEFE"/>
      </patternFill>
    </fill>
    <fill>
      <patternFill patternType="solid">
        <fgColor rgb="FFAED6F1"/>
        <bgColor rgb="FFCCCCFF"/>
      </patternFill>
    </fill>
    <fill>
      <patternFill patternType="solid">
        <fgColor rgb="FFE74C3C"/>
        <bgColor rgb="FFE94560"/>
      </patternFill>
    </fill>
    <fill>
      <patternFill patternType="solid">
        <fgColor rgb="FFFFF3E0"/>
        <bgColor rgb="FFFDFEFE"/>
      </patternFill>
    </fill>
    <fill>
      <patternFill patternType="solid">
        <fgColor rgb="FFF1948A"/>
        <bgColor rgb="FFFF99CC"/>
      </patternFill>
    </fill>
    <fill>
      <patternFill patternType="solid">
        <fgColor rgb="FF1E8449"/>
        <bgColor rgb="FF008080"/>
      </patternFill>
    </fill>
    <fill>
      <patternFill patternType="solid">
        <fgColor rgb="FFFDFEFE"/>
        <bgColor rgb="FFFFFFFF"/>
      </patternFill>
    </fill>
  </fills>
  <borders count="5">
    <border>
      <left/>
      <right/>
      <top/>
      <bottom/>
      <diagonal/>
    </border>
    <border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9" fillId="0" borderId="0" xfId="0" applyFont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right" vertical="center"/>
    </xf>
    <xf numFmtId="164" fontId="6" fillId="6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left" vertical="center"/>
    </xf>
    <xf numFmtId="164" fontId="5" fillId="7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right" vertical="center"/>
    </xf>
    <xf numFmtId="164" fontId="6" fillId="7" borderId="2" xfId="0" applyNumberFormat="1" applyFont="1" applyFill="1" applyBorder="1" applyAlignment="1">
      <alignment horizontal="right" vertical="center"/>
    </xf>
    <xf numFmtId="0" fontId="6" fillId="8" borderId="3" xfId="0" applyFont="1" applyFill="1" applyBorder="1" applyAlignment="1">
      <alignment horizontal="left" vertical="center"/>
    </xf>
    <xf numFmtId="164" fontId="6" fillId="8" borderId="3" xfId="0" applyNumberFormat="1" applyFont="1" applyFill="1" applyBorder="1" applyAlignment="1">
      <alignment horizontal="right" vertical="center"/>
    </xf>
    <xf numFmtId="0" fontId="5" fillId="10" borderId="2" xfId="0" applyFont="1" applyFill="1" applyBorder="1" applyAlignment="1">
      <alignment horizontal="left" vertical="center"/>
    </xf>
    <xf numFmtId="164" fontId="5" fillId="10" borderId="2" xfId="0" applyNumberFormat="1" applyFont="1" applyFill="1" applyBorder="1" applyAlignment="1">
      <alignment horizontal="right" vertical="center"/>
    </xf>
    <xf numFmtId="0" fontId="5" fillId="10" borderId="2" xfId="0" applyFont="1" applyFill="1" applyBorder="1" applyAlignment="1">
      <alignment horizontal="right" vertical="center"/>
    </xf>
    <xf numFmtId="164" fontId="7" fillId="10" borderId="2" xfId="0" applyNumberFormat="1" applyFont="1" applyFill="1" applyBorder="1" applyAlignment="1">
      <alignment horizontal="right" vertical="center"/>
    </xf>
    <xf numFmtId="164" fontId="7" fillId="7" borderId="2" xfId="0" applyNumberFormat="1" applyFont="1" applyFill="1" applyBorder="1" applyAlignment="1">
      <alignment horizontal="right" vertical="center"/>
    </xf>
    <xf numFmtId="0" fontId="7" fillId="11" borderId="3" xfId="0" applyFont="1" applyFill="1" applyBorder="1" applyAlignment="1">
      <alignment horizontal="left" vertical="center"/>
    </xf>
    <xf numFmtId="164" fontId="7" fillId="11" borderId="3" xfId="0" applyNumberFormat="1" applyFont="1" applyFill="1" applyBorder="1" applyAlignment="1">
      <alignment horizontal="right" vertical="center"/>
    </xf>
    <xf numFmtId="0" fontId="2" fillId="12" borderId="4" xfId="0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left" vertical="center"/>
    </xf>
    <xf numFmtId="165" fontId="8" fillId="13" borderId="2" xfId="0" applyNumberFormat="1" applyFont="1" applyFill="1" applyBorder="1" applyAlignment="1">
      <alignment horizontal="right" vertical="center"/>
    </xf>
    <xf numFmtId="0" fontId="8" fillId="13" borderId="2" xfId="0" applyFont="1" applyFill="1" applyBorder="1" applyAlignment="1">
      <alignment horizontal="right" vertical="center"/>
    </xf>
    <xf numFmtId="164" fontId="2" fillId="0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6516D0AF-B715-4C96-8FC3-8B56F1154FCE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CCCCCC"/>
      <rgbColor rgb="FF7F8C8D"/>
      <rgbColor rgb="FF9999FF"/>
      <rgbColor rgb="FFE94560"/>
      <rgbColor rgb="FFFFF3E0"/>
      <rgbColor rgb="FFE8F4F8"/>
      <rgbColor rgb="FF660066"/>
      <rgbColor rgb="FFF1948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FEFE"/>
      <rgbColor rgb="FFCCFFCC"/>
      <rgbColor rgb="FFFFFF99"/>
      <rgbColor rgb="FFAED6F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74C3C"/>
      <rgbColor rgb="FF555555"/>
      <rgbColor rgb="FF969696"/>
      <rgbColor rgb="FF1A5276"/>
      <rgbColor rgb="FF27AE60"/>
      <rgbColor rgb="FF003300"/>
      <rgbColor rgb="FF1A1A2E"/>
      <rgbColor rgb="FF7B241C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11" sqref="M11"/>
    </sheetView>
  </sheetViews>
  <sheetFormatPr defaultColWidth="8.7109375" defaultRowHeight="15" x14ac:dyDescent="0.25"/>
  <cols>
    <col min="1" max="1" width="22" customWidth="1"/>
    <col min="2" max="7" width="13" customWidth="1"/>
    <col min="8" max="8" width="16" customWidth="1"/>
  </cols>
  <sheetData>
    <row r="1" spans="1:8" ht="49.5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ht="27.75" customHeight="1" x14ac:dyDescent="0.25">
      <c r="A2" s="4" t="s">
        <v>1</v>
      </c>
      <c r="B2" s="4"/>
      <c r="C2" s="4"/>
      <c r="D2" s="4"/>
      <c r="E2" s="4"/>
      <c r="F2" s="4"/>
      <c r="G2" s="4"/>
      <c r="H2" s="4"/>
    </row>
    <row r="3" spans="1:8" ht="9.75" customHeight="1" x14ac:dyDescent="0.25"/>
    <row r="4" spans="1:8" ht="27.75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</row>
    <row r="5" spans="1:8" ht="24" customHeight="1" x14ac:dyDescent="0.25">
      <c r="A5" s="3" t="s">
        <v>10</v>
      </c>
      <c r="B5" s="3"/>
      <c r="C5" s="3"/>
      <c r="D5" s="3"/>
      <c r="E5" s="3"/>
      <c r="F5" s="3"/>
      <c r="G5" s="3"/>
      <c r="H5" s="3"/>
    </row>
    <row r="6" spans="1:8" ht="21.75" customHeight="1" x14ac:dyDescent="0.25">
      <c r="A6" s="7" t="s">
        <v>11</v>
      </c>
      <c r="B6" s="8">
        <v>100000</v>
      </c>
      <c r="C6" s="8">
        <v>100000</v>
      </c>
      <c r="D6" s="8">
        <v>100000</v>
      </c>
      <c r="E6" s="9"/>
      <c r="F6" s="9"/>
      <c r="G6" s="9"/>
      <c r="H6" s="10">
        <f>SUM(B6:G6)</f>
        <v>300000</v>
      </c>
    </row>
    <row r="7" spans="1:8" ht="21.75" customHeight="1" x14ac:dyDescent="0.25">
      <c r="A7" s="11" t="s">
        <v>12</v>
      </c>
      <c r="B7" s="12">
        <v>20000</v>
      </c>
      <c r="C7" s="12">
        <v>25000</v>
      </c>
      <c r="D7" s="12">
        <v>10000</v>
      </c>
      <c r="E7" s="13"/>
      <c r="F7" s="13"/>
      <c r="G7" s="13"/>
      <c r="H7" s="14">
        <f>SUM(B7:G7)</f>
        <v>55000</v>
      </c>
    </row>
    <row r="8" spans="1:8" ht="21.75" customHeight="1" x14ac:dyDescent="0.25">
      <c r="A8" s="7" t="s">
        <v>13</v>
      </c>
      <c r="B8" s="8">
        <v>10000</v>
      </c>
      <c r="C8" s="8">
        <v>10000</v>
      </c>
      <c r="D8" s="8">
        <v>10000</v>
      </c>
      <c r="E8" s="9"/>
      <c r="F8" s="9"/>
      <c r="G8" s="9"/>
      <c r="H8" s="10">
        <f>SUM(B8:G8)</f>
        <v>30000</v>
      </c>
    </row>
    <row r="9" spans="1:8" ht="24" customHeight="1" x14ac:dyDescent="0.25">
      <c r="A9" s="15" t="s">
        <v>14</v>
      </c>
      <c r="B9" s="16">
        <f t="shared" ref="B9:H9" si="0">SUM(B6:B8)</f>
        <v>130000</v>
      </c>
      <c r="C9" s="16">
        <f t="shared" si="0"/>
        <v>135000</v>
      </c>
      <c r="D9" s="16">
        <f t="shared" si="0"/>
        <v>120000</v>
      </c>
      <c r="E9" s="16">
        <f t="shared" si="0"/>
        <v>0</v>
      </c>
      <c r="F9" s="16">
        <f t="shared" si="0"/>
        <v>0</v>
      </c>
      <c r="G9" s="16">
        <f t="shared" si="0"/>
        <v>0</v>
      </c>
      <c r="H9" s="16">
        <f t="shared" si="0"/>
        <v>385000</v>
      </c>
    </row>
    <row r="10" spans="1:8" ht="7.5" customHeight="1" x14ac:dyDescent="0.25"/>
    <row r="11" spans="1:8" ht="24" customHeight="1" x14ac:dyDescent="0.25">
      <c r="A11" s="2" t="s">
        <v>15</v>
      </c>
      <c r="B11" s="2"/>
      <c r="C11" s="2"/>
      <c r="D11" s="2"/>
      <c r="E11" s="2"/>
      <c r="F11" s="2"/>
      <c r="G11" s="2"/>
      <c r="H11" s="2"/>
    </row>
    <row r="12" spans="1:8" ht="21.75" customHeight="1" x14ac:dyDescent="0.25">
      <c r="A12" s="17" t="s">
        <v>16</v>
      </c>
      <c r="B12" s="18">
        <v>20000</v>
      </c>
      <c r="C12" s="18">
        <v>45000</v>
      </c>
      <c r="D12" s="18">
        <v>20000</v>
      </c>
      <c r="E12" s="19"/>
      <c r="F12" s="19"/>
      <c r="G12" s="19"/>
      <c r="H12" s="20">
        <f t="shared" ref="H12:H20" si="1">SUM(B12:G12)</f>
        <v>85000</v>
      </c>
    </row>
    <row r="13" spans="1:8" ht="21.75" customHeight="1" x14ac:dyDescent="0.25">
      <c r="A13" s="11" t="s">
        <v>17</v>
      </c>
      <c r="B13" s="12">
        <v>5000</v>
      </c>
      <c r="C13" s="12">
        <v>15000</v>
      </c>
      <c r="D13" s="12">
        <v>4000</v>
      </c>
      <c r="E13" s="13"/>
      <c r="F13" s="13"/>
      <c r="G13" s="13"/>
      <c r="H13" s="21">
        <f t="shared" si="1"/>
        <v>24000</v>
      </c>
    </row>
    <row r="14" spans="1:8" ht="21.75" customHeight="1" x14ac:dyDescent="0.25">
      <c r="A14" s="17" t="s">
        <v>18</v>
      </c>
      <c r="B14" s="18">
        <v>2000</v>
      </c>
      <c r="C14" s="18">
        <v>5000</v>
      </c>
      <c r="D14" s="18">
        <v>1000</v>
      </c>
      <c r="E14" s="19"/>
      <c r="F14" s="19"/>
      <c r="G14" s="19"/>
      <c r="H14" s="20">
        <f t="shared" si="1"/>
        <v>8000</v>
      </c>
    </row>
    <row r="15" spans="1:8" ht="21.75" customHeight="1" x14ac:dyDescent="0.25">
      <c r="A15" s="11" t="s">
        <v>19</v>
      </c>
      <c r="B15" s="12">
        <v>1000</v>
      </c>
      <c r="C15" s="12">
        <v>1000</v>
      </c>
      <c r="D15" s="12">
        <v>1000</v>
      </c>
      <c r="E15" s="13"/>
      <c r="F15" s="13"/>
      <c r="G15" s="13"/>
      <c r="H15" s="21">
        <f t="shared" si="1"/>
        <v>3000</v>
      </c>
    </row>
    <row r="16" spans="1:8" ht="21.75" customHeight="1" x14ac:dyDescent="0.25">
      <c r="A16" s="17" t="s">
        <v>20</v>
      </c>
      <c r="B16" s="18">
        <v>1000</v>
      </c>
      <c r="C16" s="18">
        <v>2000</v>
      </c>
      <c r="D16" s="18">
        <v>1000</v>
      </c>
      <c r="E16" s="19"/>
      <c r="F16" s="19"/>
      <c r="G16" s="19"/>
      <c r="H16" s="20">
        <f t="shared" si="1"/>
        <v>4000</v>
      </c>
    </row>
    <row r="17" spans="1:8" ht="21.75" customHeight="1" x14ac:dyDescent="0.25">
      <c r="A17" s="11" t="s">
        <v>21</v>
      </c>
      <c r="B17" s="12">
        <v>2000</v>
      </c>
      <c r="C17" s="12">
        <v>6000</v>
      </c>
      <c r="D17" s="12">
        <v>1000</v>
      </c>
      <c r="E17" s="13"/>
      <c r="F17" s="13"/>
      <c r="G17" s="13"/>
      <c r="H17" s="21">
        <f t="shared" si="1"/>
        <v>9000</v>
      </c>
    </row>
    <row r="18" spans="1:8" ht="21.75" customHeight="1" x14ac:dyDescent="0.25">
      <c r="A18" s="17" t="s">
        <v>22</v>
      </c>
      <c r="B18" s="18">
        <v>750</v>
      </c>
      <c r="C18" s="18">
        <v>1000</v>
      </c>
      <c r="D18" s="18">
        <v>600</v>
      </c>
      <c r="E18" s="19"/>
      <c r="F18" s="19"/>
      <c r="G18" s="19"/>
      <c r="H18" s="20">
        <f t="shared" si="1"/>
        <v>2350</v>
      </c>
    </row>
    <row r="19" spans="1:8" ht="21.75" customHeight="1" x14ac:dyDescent="0.25">
      <c r="A19" s="11" t="s">
        <v>23</v>
      </c>
      <c r="B19" s="12">
        <v>200</v>
      </c>
      <c r="C19" s="12">
        <v>1000</v>
      </c>
      <c r="D19" s="12">
        <v>100</v>
      </c>
      <c r="E19" s="13"/>
      <c r="F19" s="13"/>
      <c r="G19" s="13"/>
      <c r="H19" s="21">
        <f t="shared" si="1"/>
        <v>1300</v>
      </c>
    </row>
    <row r="20" spans="1:8" ht="21.75" customHeight="1" x14ac:dyDescent="0.25">
      <c r="A20" s="17" t="s">
        <v>24</v>
      </c>
      <c r="B20" s="18">
        <v>1000</v>
      </c>
      <c r="C20" s="18">
        <v>3000</v>
      </c>
      <c r="D20" s="18">
        <v>1000</v>
      </c>
      <c r="E20" s="19"/>
      <c r="F20" s="19"/>
      <c r="G20" s="19"/>
      <c r="H20" s="20">
        <f t="shared" si="1"/>
        <v>5000</v>
      </c>
    </row>
    <row r="21" spans="1:8" ht="24" customHeight="1" x14ac:dyDescent="0.25">
      <c r="A21" s="22" t="s">
        <v>25</v>
      </c>
      <c r="B21" s="23">
        <f t="shared" ref="B21:H21" si="2">SUM(B12:B20)</f>
        <v>32950</v>
      </c>
      <c r="C21" s="23">
        <f t="shared" si="2"/>
        <v>79000</v>
      </c>
      <c r="D21" s="23">
        <f t="shared" si="2"/>
        <v>29700</v>
      </c>
      <c r="E21" s="23">
        <f t="shared" si="2"/>
        <v>0</v>
      </c>
      <c r="F21" s="23">
        <f t="shared" si="2"/>
        <v>0</v>
      </c>
      <c r="G21" s="23">
        <f t="shared" si="2"/>
        <v>0</v>
      </c>
      <c r="H21" s="23">
        <f t="shared" si="2"/>
        <v>141650</v>
      </c>
    </row>
    <row r="22" spans="1:8" ht="7.5" customHeight="1" x14ac:dyDescent="0.25"/>
    <row r="23" spans="1:8" ht="27.75" customHeight="1" x14ac:dyDescent="0.25">
      <c r="A23" s="24" t="s">
        <v>26</v>
      </c>
      <c r="B23" s="28">
        <f t="shared" ref="B23:H23" si="3">B9-B21</f>
        <v>97050</v>
      </c>
      <c r="C23" s="28">
        <f t="shared" si="3"/>
        <v>56000</v>
      </c>
      <c r="D23" s="28">
        <f t="shared" si="3"/>
        <v>90300</v>
      </c>
      <c r="E23" s="28">
        <f t="shared" si="3"/>
        <v>0</v>
      </c>
      <c r="F23" s="28">
        <f t="shared" si="3"/>
        <v>0</v>
      </c>
      <c r="G23" s="28">
        <f t="shared" si="3"/>
        <v>0</v>
      </c>
      <c r="H23" s="28">
        <f t="shared" si="3"/>
        <v>243350</v>
      </c>
    </row>
    <row r="24" spans="1:8" ht="24" customHeight="1" x14ac:dyDescent="0.25">
      <c r="A24" s="25" t="s">
        <v>27</v>
      </c>
      <c r="B24" s="26">
        <f t="shared" ref="B24:G24" si="4">B23-60000</f>
        <v>37050</v>
      </c>
      <c r="C24" s="26">
        <f t="shared" si="4"/>
        <v>-4000</v>
      </c>
      <c r="D24" s="26">
        <f t="shared" si="4"/>
        <v>30300</v>
      </c>
      <c r="E24" s="26">
        <f t="shared" si="4"/>
        <v>-60000</v>
      </c>
      <c r="F24" s="26">
        <f t="shared" si="4"/>
        <v>-60000</v>
      </c>
      <c r="G24" s="26">
        <f t="shared" si="4"/>
        <v>-60000</v>
      </c>
      <c r="H24" s="27"/>
    </row>
    <row r="26" spans="1:8" ht="18" customHeight="1" x14ac:dyDescent="0.25">
      <c r="A26" s="1" t="s">
        <v>28</v>
      </c>
      <c r="B26" s="1"/>
      <c r="C26" s="1"/>
      <c r="D26" s="1"/>
      <c r="E26" s="1"/>
      <c r="F26" s="1"/>
      <c r="G26" s="1"/>
      <c r="H26" s="1"/>
    </row>
  </sheetData>
  <mergeCells count="5">
    <mergeCell ref="A1:H1"/>
    <mergeCell ref="A2:H2"/>
    <mergeCell ref="A5:H5"/>
    <mergeCell ref="A11:H11"/>
    <mergeCell ref="A26:H26"/>
  </mergeCells>
  <conditionalFormatting sqref="B23:H23">
    <cfRule type="cellIs" dxfId="0" priority="2" operator="lessThan">
      <formula>60000</formula>
    </cfRule>
    <cfRule type="cellIs" dxfId="1" priority="1" operator="greaterThan">
      <formula>60000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&amp;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Dibyanshu Mandal</cp:lastModifiedBy>
  <cp:revision>0</cp:revision>
  <dcterms:created xsi:type="dcterms:W3CDTF">2026-06-08T08:35:12Z</dcterms:created>
  <dcterms:modified xsi:type="dcterms:W3CDTF">2026-06-08T08:58:27Z</dcterms:modified>
  <dc:language>en-US</dc:language>
</cp:coreProperties>
</file>